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unitednations.sharepoint.com/sites/UNOV_UNODC-DPA-RAB/Shared Documents/docs/World Drug Report/WDR_2025/Annex online/"/>
    </mc:Choice>
  </mc:AlternateContent>
  <xr:revisionPtr revIDLastSave="0" documentId="8_{6A35EC21-3209-4A0A-8F76-A4C998ADD485}" xr6:coauthVersionLast="47" xr6:coauthVersionMax="47" xr10:uidLastSave="{00000000-0000-0000-0000-000000000000}"/>
  <bookViews>
    <workbookView xWindow="38280" yWindow="8355" windowWidth="29040" windowHeight="15720" xr2:uid="{E3158B90-7B88-4102-A1A7-9D92DFFFD1A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 i="1" l="1"/>
  <c r="M11" i="1"/>
  <c r="N11" i="1" s="1"/>
  <c r="L11" i="1"/>
  <c r="K11" i="1"/>
  <c r="J11" i="1"/>
  <c r="I11" i="1"/>
  <c r="H11" i="1"/>
  <c r="G11" i="1"/>
  <c r="F11" i="1"/>
  <c r="D11" i="1"/>
  <c r="C11" i="1"/>
  <c r="R10" i="1"/>
  <c r="Q10" i="1"/>
  <c r="N10" i="1"/>
  <c r="M10" i="1"/>
  <c r="L10" i="1"/>
  <c r="R8" i="1"/>
  <c r="R11" i="1" s="1"/>
  <c r="Q8" i="1"/>
  <c r="Q1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tc={A8C8C112-2DE3-4955-8086-951260DCAA52}</author>
  </authors>
  <commentList>
    <comment ref="N7" authorId="0" shapeId="0" xr:uid="{A8C8C112-2DE3-4955-8086-951260DCAA52}">
      <text>
        <t>[Threaded comment]
Your version of Excel allows you to read this threaded comment; however, any edits to it will get removed if the file is opened in a newer version of Excel. Learn more: https://go.microsoft.com/fwlink/?linkid=870924
Comment:
    Source: https://www.unodc.org/documents/crop-monitoring/Bolivia/Bolivia_Coca_Survey_Fact_sheet_Executive_Summary_2020.pdf
The data reprted on the DXP is not correct</t>
      </text>
    </comment>
  </commentList>
</comments>
</file>

<file path=xl/sharedStrings.xml><?xml version="1.0" encoding="utf-8"?>
<sst xmlns="http://schemas.openxmlformats.org/spreadsheetml/2006/main" count="14" uniqueCount="14">
  <si>
    <t xml:space="preserve">  Bolivia (Plurinational State of) </t>
  </si>
  <si>
    <r>
      <t xml:space="preserve">  Colombia </t>
    </r>
    <r>
      <rPr>
        <vertAlign val="superscript"/>
        <sz val="10"/>
        <color rgb="FF000000"/>
        <rFont val="Arial"/>
        <family val="2"/>
      </rPr>
      <t>a</t>
    </r>
  </si>
  <si>
    <r>
      <t xml:space="preserve">  Peru </t>
    </r>
    <r>
      <rPr>
        <vertAlign val="superscript"/>
        <sz val="10"/>
        <color rgb="FF000000"/>
        <rFont val="Arial"/>
        <family val="2"/>
      </rPr>
      <t>b</t>
    </r>
  </si>
  <si>
    <r>
      <t xml:space="preserve">  Peru </t>
    </r>
    <r>
      <rPr>
        <vertAlign val="superscript"/>
        <sz val="10"/>
        <color rgb="FF000000"/>
        <rFont val="Arial"/>
        <family val="2"/>
      </rPr>
      <t>c</t>
    </r>
  </si>
  <si>
    <t>e</t>
  </si>
  <si>
    <t xml:space="preserve">  Total</t>
  </si>
  <si>
    <t>d</t>
  </si>
  <si>
    <r>
      <t xml:space="preserve">a) </t>
    </r>
    <r>
      <rPr>
        <vertAlign val="superscript"/>
        <sz val="9"/>
        <color rgb="FF000000"/>
        <rFont val="Arial"/>
        <family val="2"/>
      </rPr>
      <t xml:space="preserve"> </t>
    </r>
    <r>
      <rPr>
        <sz val="9"/>
        <color rgb="FF000000"/>
        <rFont val="Arial"/>
        <family val="2"/>
      </rPr>
      <t xml:space="preserve">Net area on 31 December.
</t>
    </r>
  </si>
  <si>
    <t>b) Figures represent the area under coca cultivation as interpreted on satellite imagery (without deductions for subsequent eradication).</t>
  </si>
  <si>
    <t>c) Net area on 31 December, deducting fields eradicated after satellite imagery was taken.</t>
  </si>
  <si>
    <t>d) The global coca cultivation figure was calculated with the "area as interpreted on satellite imagery" for Peru in 2011.</t>
  </si>
  <si>
    <r>
      <rPr>
        <b/>
        <i/>
        <sz val="9"/>
        <color rgb="FF000000"/>
        <rFont val="Arial"/>
        <family val="2"/>
      </rPr>
      <t>Sources</t>
    </r>
    <r>
      <rPr>
        <b/>
        <sz val="9"/>
        <color rgb="FF000000"/>
        <rFont val="Arial"/>
        <family val="2"/>
      </rPr>
      <t xml:space="preserve">: </t>
    </r>
    <r>
      <rPr>
        <sz val="9"/>
        <color rgb="FF000000"/>
        <rFont val="Arial"/>
        <family val="2"/>
      </rPr>
      <t xml:space="preserve">Plurinational State of Bolivia: national illicit crop monitoring system supported by the United Nations Office on Drugs and Crime (UNODC). Colombia: national illicit crop monitoring system supported by UNODC. Peru: national illicit crop monitoring system supported by UNODC.
</t>
    </r>
    <r>
      <rPr>
        <b/>
        <i/>
        <sz val="9"/>
        <color rgb="FF000000"/>
        <rFont val="Arial"/>
        <family val="2"/>
      </rPr>
      <t>Note</t>
    </r>
    <r>
      <rPr>
        <b/>
        <sz val="9"/>
        <color rgb="FF000000"/>
        <rFont val="Arial"/>
        <family val="2"/>
      </rPr>
      <t>:</t>
    </r>
    <r>
      <rPr>
        <sz val="9"/>
        <color rgb="FF000000"/>
        <rFont val="Arial"/>
        <family val="2"/>
      </rPr>
      <t xml:space="preserve"> Different area concepts and their effect on comparability were presented in the </t>
    </r>
    <r>
      <rPr>
        <i/>
        <sz val="9"/>
        <color rgb="FF000000"/>
        <rFont val="Arial"/>
        <family val="2"/>
      </rPr>
      <t>World Drug Report 2012</t>
    </r>
    <r>
      <rPr>
        <sz val="9"/>
        <color rgb="FF000000"/>
        <rFont val="Arial"/>
        <family val="2"/>
      </rPr>
      <t xml:space="preserve"> (United Nations publication, Sales No. E.12.XI.1) (p. 41-42). Efforts to improve the comparability of estimates between countries continue; since 2011 the net area under coca bush cultivation on the reference date of 31 December was estimated for Peru, in addition to Colombia. The estimate presented for the Plurinational State of Bolivia represents the area under coca cultivation as interpreted on satellite imagery.</t>
    </r>
  </si>
  <si>
    <t>e) The estimate of the illicit cultivation for the year 2021 includes 5 new areas (Amazonas, Bajo Huallaga, Bajo Ucayali, Camanti y Madre de Dios).</t>
  </si>
  <si>
    <t>Global illicit cultivation of coca bush, 2010-2023 (hectares)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</si>
</sst>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yyyy"/>
    <numFmt numFmtId="166" formatCode="&quot; &quot;#,##0&quot; &quot;;&quot;-&quot;#,##0&quot; &quot;;&quot; -&quot;00&quot; &quot;;&quot; &quot;@&quot; &quot;"/>
    <numFmt numFmtId="167" formatCode="&quot; &quot;#,##0.000&quot; &quot;;&quot;-&quot;#,##0.000&quot; &quot;;&quot; -&quot;00&quot; &quot;;&quot; &quot;@&quot; &quot;"/>
    <numFmt numFmtId="168" formatCode="#,##0&quot; &quot;;&quot;-&quot;#,##0&quot; &quot;"/>
  </numFmts>
  <fonts count="14" x14ac:knownFonts="1">
    <font>
      <sz val="11"/>
      <color theme="1"/>
      <name val="Aptos Narrow"/>
      <family val="2"/>
      <scheme val="minor"/>
    </font>
    <font>
      <sz val="11"/>
      <color theme="1"/>
      <name val="Aptos Narrow"/>
      <family val="2"/>
      <scheme val="minor"/>
    </font>
    <font>
      <b/>
      <sz val="10"/>
      <color rgb="FF000000"/>
      <name val="Arial"/>
      <family val="2"/>
    </font>
    <font>
      <b/>
      <sz val="16"/>
      <color rgb="FF000000"/>
      <name val="Arial"/>
      <family val="2"/>
    </font>
    <font>
      <sz val="10"/>
      <color rgb="FF000000"/>
      <name val="Arial"/>
      <family val="2"/>
    </font>
    <font>
      <sz val="12"/>
      <color rgb="FF000000"/>
      <name val="Times New Roman"/>
      <family val="1"/>
    </font>
    <font>
      <vertAlign val="superscript"/>
      <sz val="10"/>
      <color rgb="FF000000"/>
      <name val="Arial"/>
      <family val="2"/>
    </font>
    <font>
      <vertAlign val="superscript"/>
      <sz val="11"/>
      <color theme="1"/>
      <name val="Aptos Narrow"/>
      <family val="2"/>
      <scheme val="minor"/>
    </font>
    <font>
      <sz val="9"/>
      <color rgb="FF000000"/>
      <name val="Arial"/>
      <family val="2"/>
    </font>
    <font>
      <i/>
      <sz val="9"/>
      <color rgb="FF000000"/>
      <name val="Arial"/>
      <family val="2"/>
    </font>
    <font>
      <vertAlign val="superscript"/>
      <sz val="9"/>
      <color rgb="FF000000"/>
      <name val="Arial"/>
      <family val="2"/>
    </font>
    <font>
      <sz val="9"/>
      <color indexed="81"/>
      <name val="Tahoma"/>
      <charset val="1"/>
    </font>
    <font>
      <b/>
      <i/>
      <sz val="9"/>
      <color rgb="FF000000"/>
      <name val="Arial"/>
      <family val="2"/>
    </font>
    <font>
      <b/>
      <sz val="9"/>
      <color rgb="FF000000"/>
      <name val="Arial"/>
      <family val="2"/>
    </font>
  </fonts>
  <fills count="3">
    <fill>
      <patternFill patternType="none"/>
    </fill>
    <fill>
      <patternFill patternType="gray125"/>
    </fill>
    <fill>
      <patternFill patternType="solid">
        <fgColor rgb="FFFFFFFF"/>
        <bgColor rgb="FFFFFFFF"/>
      </patternFill>
    </fill>
  </fills>
  <borders count="4">
    <border>
      <left/>
      <right/>
      <top/>
      <bottom/>
      <diagonal/>
    </border>
    <border>
      <left/>
      <right/>
      <top/>
      <bottom style="thin">
        <color rgb="FF000000"/>
      </bottom>
      <diagonal/>
    </border>
    <border>
      <left/>
      <right/>
      <top/>
      <bottom style="thin">
        <color indexed="64"/>
      </bottom>
      <diagonal/>
    </border>
    <border>
      <left/>
      <right/>
      <top style="thin">
        <color rgb="FF9999FF"/>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applyNumberFormat="0" applyFont="0" applyBorder="0" applyProtection="0"/>
    <xf numFmtId="0" fontId="5" fillId="0" borderId="0" applyNumberFormat="0" applyBorder="0" applyProtection="0"/>
  </cellStyleXfs>
  <cellXfs count="49">
    <xf numFmtId="0" fontId="0" fillId="0" borderId="0" xfId="0"/>
    <xf numFmtId="0" fontId="0" fillId="0" borderId="0" xfId="0" applyAlignment="1">
      <alignment horizontal="left" vertical="center" wrapText="1"/>
    </xf>
    <xf numFmtId="0" fontId="2" fillId="0" borderId="0" xfId="0" applyFont="1" applyAlignment="1">
      <alignment horizontal="right"/>
    </xf>
    <xf numFmtId="3" fontId="2" fillId="0" borderId="0" xfId="0" applyNumberFormat="1" applyFont="1" applyAlignment="1">
      <alignment horizontal="right"/>
    </xf>
    <xf numFmtId="3" fontId="0" fillId="0" borderId="0" xfId="0" applyNumberFormat="1"/>
    <xf numFmtId="0" fontId="0" fillId="2" borderId="0" xfId="0" applyFill="1" applyAlignment="1">
      <alignment horizontal="center"/>
    </xf>
    <xf numFmtId="0" fontId="2"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xf numFmtId="0" fontId="0" fillId="2" borderId="0" xfId="0" applyFill="1" applyAlignment="1">
      <alignment horizontal="right"/>
    </xf>
    <xf numFmtId="164" fontId="2" fillId="2" borderId="1" xfId="0" applyNumberFormat="1" applyFont="1" applyFill="1" applyBorder="1" applyAlignment="1">
      <alignment vertical="center"/>
    </xf>
    <xf numFmtId="164" fontId="2" fillId="2" borderId="1" xfId="3" applyNumberFormat="1" applyFont="1" applyFill="1" applyBorder="1" applyAlignment="1" applyProtection="1">
      <alignment vertical="center"/>
    </xf>
    <xf numFmtId="0" fontId="2" fillId="0" borderId="1" xfId="0" applyFont="1" applyBorder="1" applyAlignment="1">
      <alignment vertical="center"/>
    </xf>
    <xf numFmtId="0" fontId="2" fillId="0" borderId="2" xfId="0" applyFont="1" applyBorder="1" applyAlignment="1">
      <alignment vertical="center"/>
    </xf>
    <xf numFmtId="1" fontId="2" fillId="0" borderId="2" xfId="0" applyNumberFormat="1" applyFont="1" applyBorder="1"/>
    <xf numFmtId="0" fontId="2" fillId="0" borderId="2" xfId="0" applyFont="1" applyBorder="1"/>
    <xf numFmtId="0" fontId="2" fillId="2" borderId="0" xfId="0" applyFont="1" applyFill="1"/>
    <xf numFmtId="0" fontId="0" fillId="2" borderId="0" xfId="0" applyFill="1"/>
    <xf numFmtId="3" fontId="2" fillId="0" borderId="0" xfId="0" applyNumberFormat="1" applyFont="1"/>
    <xf numFmtId="0" fontId="1" fillId="2" borderId="0" xfId="1" applyNumberFormat="1" applyFill="1" applyAlignment="1">
      <alignment vertical="center"/>
    </xf>
    <xf numFmtId="3" fontId="0" fillId="0" borderId="0" xfId="4" applyNumberFormat="1" applyFont="1" applyAlignment="1" applyProtection="1">
      <alignment vertical="center"/>
    </xf>
    <xf numFmtId="166" fontId="1" fillId="0" borderId="0" xfId="1" applyNumberFormat="1" applyFill="1" applyAlignment="1">
      <alignment vertical="center"/>
    </xf>
    <xf numFmtId="3" fontId="0" fillId="0" borderId="0" xfId="2" applyNumberFormat="1" applyFont="1" applyFill="1" applyAlignment="1">
      <alignment vertical="center"/>
    </xf>
    <xf numFmtId="4" fontId="0" fillId="0" borderId="0" xfId="0" applyNumberFormat="1" applyAlignment="1">
      <alignment vertical="center"/>
    </xf>
    <xf numFmtId="0" fontId="0" fillId="0" borderId="0" xfId="0" applyAlignment="1">
      <alignment vertical="center"/>
    </xf>
    <xf numFmtId="0" fontId="0" fillId="2" borderId="0" xfId="1" applyNumberFormat="1" applyFont="1" applyFill="1" applyAlignment="1">
      <alignment vertical="center"/>
    </xf>
    <xf numFmtId="167" fontId="1" fillId="0" borderId="0" xfId="1" applyNumberFormat="1" applyFill="1" applyAlignment="1">
      <alignment vertical="center"/>
    </xf>
    <xf numFmtId="3" fontId="0" fillId="0" borderId="0" xfId="0" applyNumberFormat="1" applyAlignment="1">
      <alignment vertical="center"/>
    </xf>
    <xf numFmtId="0" fontId="2" fillId="2" borderId="0" xfId="1" applyNumberFormat="1" applyFont="1" applyFill="1" applyAlignment="1">
      <alignment horizontal="left" vertical="center"/>
    </xf>
    <xf numFmtId="3" fontId="0" fillId="0" borderId="2" xfId="4" applyNumberFormat="1" applyFont="1" applyBorder="1" applyAlignment="1" applyProtection="1">
      <alignment vertical="center"/>
    </xf>
    <xf numFmtId="3" fontId="6" fillId="0" borderId="2" xfId="4" applyNumberFormat="1" applyFont="1" applyBorder="1" applyAlignment="1" applyProtection="1">
      <alignment vertical="center"/>
    </xf>
    <xf numFmtId="166" fontId="1" fillId="0" borderId="2" xfId="1" applyNumberFormat="1" applyFill="1" applyBorder="1" applyAlignment="1">
      <alignment vertical="center"/>
    </xf>
    <xf numFmtId="3" fontId="0" fillId="0" borderId="2" xfId="0" applyNumberFormat="1" applyBorder="1" applyAlignment="1">
      <alignment vertical="center"/>
    </xf>
    <xf numFmtId="0" fontId="0" fillId="0" borderId="2" xfId="0" applyBorder="1" applyAlignment="1">
      <alignment vertical="center"/>
    </xf>
    <xf numFmtId="0" fontId="2" fillId="2" borderId="3" xfId="1" applyNumberFormat="1" applyFont="1" applyFill="1" applyBorder="1" applyAlignment="1">
      <alignment horizontal="right" vertical="center"/>
    </xf>
    <xf numFmtId="168" fontId="2" fillId="2" borderId="0" xfId="1" applyNumberFormat="1" applyFont="1" applyFill="1" applyBorder="1" applyAlignment="1">
      <alignment horizontal="right" vertical="center"/>
    </xf>
    <xf numFmtId="168" fontId="2" fillId="0" borderId="0" xfId="1" applyNumberFormat="1" applyFont="1" applyFill="1" applyBorder="1" applyAlignment="1">
      <alignment horizontal="right" vertical="center"/>
    </xf>
    <xf numFmtId="168" fontId="2" fillId="0" borderId="0" xfId="1" applyNumberFormat="1" applyFont="1" applyFill="1" applyAlignment="1">
      <alignment horizontal="right" vertical="center"/>
    </xf>
    <xf numFmtId="166" fontId="0" fillId="0" borderId="0" xfId="0" applyNumberFormat="1" applyAlignment="1">
      <alignment vertical="center"/>
    </xf>
    <xf numFmtId="166" fontId="1" fillId="0" borderId="0" xfId="1" applyNumberFormat="1" applyAlignment="1">
      <alignment horizontal="center" vertical="center"/>
    </xf>
    <xf numFmtId="0" fontId="8" fillId="0" borderId="0" xfId="1" applyNumberFormat="1" applyFont="1" applyAlignment="1">
      <alignment horizontal="left" vertical="center" wrapText="1"/>
    </xf>
    <xf numFmtId="0" fontId="0" fillId="0" borderId="0" xfId="0" applyAlignment="1">
      <alignment horizontal="left" vertical="top"/>
    </xf>
    <xf numFmtId="4" fontId="0" fillId="0" borderId="2" xfId="0" applyNumberFormat="1" applyBorder="1" applyAlignment="1">
      <alignment vertical="center"/>
    </xf>
    <xf numFmtId="0" fontId="0" fillId="0" borderId="0" xfId="0" applyFill="1" applyAlignment="1">
      <alignment vertical="center"/>
    </xf>
    <xf numFmtId="3" fontId="7" fillId="0" borderId="0" xfId="2" applyNumberFormat="1" applyFont="1" applyFill="1" applyAlignment="1">
      <alignment vertical="center"/>
    </xf>
    <xf numFmtId="0" fontId="0" fillId="0" borderId="0" xfId="0" applyAlignment="1">
      <alignment horizontal="left"/>
    </xf>
    <xf numFmtId="0" fontId="0" fillId="0" borderId="0" xfId="0" applyAlignment="1">
      <alignment horizontal="left" wrapText="1"/>
    </xf>
    <xf numFmtId="0" fontId="8" fillId="0" borderId="0" xfId="1" applyNumberFormat="1" applyFont="1" applyAlignment="1">
      <alignment vertical="top" wrapText="1"/>
    </xf>
    <xf numFmtId="0" fontId="3" fillId="2" borderId="0" xfId="0" applyFont="1" applyFill="1" applyAlignment="1">
      <alignment horizontal="left" vertical="center" wrapText="1"/>
    </xf>
  </cellXfs>
  <cellStyles count="5">
    <cellStyle name="Comma" xfId="1" builtinId="3"/>
    <cellStyle name="Normal" xfId="0" builtinId="0"/>
    <cellStyle name="Normal 2" xfId="3" xr:uid="{8814919E-12C7-42D9-83AC-05057D451138}"/>
    <cellStyle name="Normal 4" xfId="4" xr:uid="{2FC99DBC-ED8A-4350-9ECF-1BB567950692}"/>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Natalia IVANOVA" id="{93B4D8F1-7249-49BF-B842-1FEDEE0B22C3}" userId="S::natalia.ivanova@un.org::0df940cd-2d11-464c-9170-872853096b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7" dT="2021-12-21T15:11:59.89" personId="{93B4D8F1-7249-49BF-B842-1FEDEE0B22C3}" id="{A8C8C112-2DE3-4955-8086-951260DCAA52}">
    <text>Source: https://www.unodc.org/documents/crop-monitoring/Bolivia/Bolivia_Coca_Survey_Fact_sheet_Executive_Summary_2020.pdf
The data reprted on the DXP is not correct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BCD97-D6C6-4629-BF7A-6BEE32EFDE1F}">
  <dimension ref="B1:U18"/>
  <sheetViews>
    <sheetView showGridLines="0" tabSelected="1" topLeftCell="B1" zoomScaleNormal="100" workbookViewId="0">
      <selection activeCell="V16" sqref="V16"/>
    </sheetView>
  </sheetViews>
  <sheetFormatPr defaultColWidth="8.5703125" defaultRowHeight="15" x14ac:dyDescent="0.25"/>
  <cols>
    <col min="1" max="1" width="4.7109375" customWidth="1"/>
    <col min="2" max="2" width="28.5703125" customWidth="1"/>
    <col min="3" max="3" width="8" customWidth="1"/>
    <col min="4" max="4" width="7.42578125" customWidth="1"/>
    <col min="5" max="5" width="1.140625" customWidth="1"/>
    <col min="6" max="6" width="8.85546875" customWidth="1"/>
    <col min="7" max="7" width="8.42578125" customWidth="1"/>
    <col min="8" max="8" width="9" customWidth="1"/>
    <col min="9" max="9" width="7.5703125" customWidth="1"/>
    <col min="10" max="10" width="9.5703125" bestFit="1" customWidth="1"/>
    <col min="11" max="11" width="9.5703125" customWidth="1"/>
    <col min="12" max="12" width="9.42578125" customWidth="1"/>
    <col min="13" max="13" width="10.5703125" customWidth="1"/>
    <col min="14" max="14" width="11.42578125" customWidth="1"/>
    <col min="15" max="15" width="13" style="4" customWidth="1"/>
    <col min="16" max="16" width="1.7109375" style="4" customWidth="1"/>
    <col min="17" max="17" width="11.140625" customWidth="1"/>
    <col min="18" max="18" width="17" bestFit="1" customWidth="1"/>
    <col min="19" max="19" width="11.42578125" bestFit="1" customWidth="1"/>
    <col min="20" max="20" width="14" bestFit="1" customWidth="1"/>
    <col min="21" max="21" width="9.140625" customWidth="1"/>
    <col min="22" max="22" width="10.42578125" bestFit="1" customWidth="1"/>
    <col min="23" max="23" width="9.140625" customWidth="1"/>
  </cols>
  <sheetData>
    <row r="1" spans="2:21" x14ac:dyDescent="0.25">
      <c r="B1" s="1"/>
      <c r="C1" s="1"/>
      <c r="G1" s="2"/>
      <c r="H1" s="2"/>
      <c r="I1" s="2"/>
      <c r="J1" s="2"/>
      <c r="K1" s="2"/>
      <c r="L1" s="2"/>
      <c r="M1" s="2"/>
      <c r="N1" s="2"/>
      <c r="O1" s="3"/>
      <c r="P1" s="3"/>
      <c r="Q1" s="2"/>
      <c r="R1" s="2"/>
    </row>
    <row r="2" spans="2:21" x14ac:dyDescent="0.25">
      <c r="B2" s="1"/>
      <c r="C2" s="1"/>
      <c r="D2" s="2"/>
      <c r="E2" s="2"/>
      <c r="F2" s="2"/>
      <c r="G2" s="2"/>
      <c r="H2" s="2"/>
      <c r="I2" s="2"/>
      <c r="J2" s="2"/>
      <c r="K2" s="2"/>
      <c r="L2" s="2"/>
      <c r="M2" s="2"/>
      <c r="N2" s="2"/>
      <c r="O2" s="3"/>
      <c r="P2" s="3"/>
      <c r="Q2" s="2"/>
      <c r="R2" s="2"/>
      <c r="S2" s="2"/>
      <c r="T2" s="2"/>
      <c r="U2" s="2"/>
    </row>
    <row r="3" spans="2:21" ht="20.25" customHeight="1" x14ac:dyDescent="0.25">
      <c r="B3" s="48" t="s">
        <v>13</v>
      </c>
      <c r="C3" s="48"/>
      <c r="D3" s="48"/>
      <c r="E3" s="48"/>
      <c r="F3" s="48"/>
      <c r="G3" s="48"/>
      <c r="H3" s="48"/>
      <c r="I3" s="48"/>
      <c r="J3" s="48"/>
      <c r="K3" s="48"/>
      <c r="L3" s="48"/>
      <c r="M3" s="48"/>
      <c r="N3" s="48"/>
      <c r="O3" s="48"/>
      <c r="P3" s="48"/>
      <c r="Q3" s="48"/>
      <c r="R3" s="48"/>
    </row>
    <row r="4" spans="2:21" x14ac:dyDescent="0.25">
      <c r="B4" s="5"/>
      <c r="C4" s="6"/>
      <c r="D4" s="6"/>
      <c r="E4" s="6"/>
      <c r="F4" s="6"/>
      <c r="G4" s="6"/>
      <c r="H4" s="7"/>
      <c r="I4" s="7"/>
      <c r="J4" s="7"/>
      <c r="K4" s="7"/>
      <c r="L4" s="8"/>
      <c r="M4" s="8"/>
      <c r="N4" s="8"/>
    </row>
    <row r="5" spans="2:21" s="8" customFormat="1" x14ac:dyDescent="0.25">
      <c r="B5" s="9"/>
      <c r="C5" s="10">
        <v>40182</v>
      </c>
      <c r="D5" s="10">
        <v>40547</v>
      </c>
      <c r="E5" s="10"/>
      <c r="F5" s="10">
        <v>40912</v>
      </c>
      <c r="G5" s="11">
        <v>41279</v>
      </c>
      <c r="H5" s="12">
        <v>2014</v>
      </c>
      <c r="I5" s="12">
        <v>2015</v>
      </c>
      <c r="J5" s="12">
        <v>2016</v>
      </c>
      <c r="K5" s="12">
        <v>2017</v>
      </c>
      <c r="L5" s="12">
        <v>2018</v>
      </c>
      <c r="M5" s="12">
        <v>2019</v>
      </c>
      <c r="N5" s="13">
        <v>2020</v>
      </c>
      <c r="O5" s="14">
        <v>2021</v>
      </c>
      <c r="P5" s="14"/>
      <c r="Q5" s="15">
        <v>2022</v>
      </c>
      <c r="R5" s="15">
        <v>2023</v>
      </c>
    </row>
    <row r="6" spans="2:21" s="8" customFormat="1" x14ac:dyDescent="0.25">
      <c r="B6" s="9"/>
      <c r="C6" s="16"/>
      <c r="D6" s="16"/>
      <c r="E6" s="16"/>
      <c r="F6" s="16"/>
      <c r="G6" s="17"/>
      <c r="O6" s="18"/>
      <c r="P6" s="18"/>
    </row>
    <row r="7" spans="2:21" s="24" customFormat="1" x14ac:dyDescent="0.25">
      <c r="B7" s="19" t="s">
        <v>0</v>
      </c>
      <c r="C7" s="20">
        <v>31000</v>
      </c>
      <c r="D7" s="20">
        <v>27200</v>
      </c>
      <c r="E7" s="20"/>
      <c r="F7" s="20">
        <v>25300</v>
      </c>
      <c r="G7" s="20">
        <v>23000</v>
      </c>
      <c r="H7" s="20">
        <v>20400</v>
      </c>
      <c r="I7" s="20">
        <v>20200</v>
      </c>
      <c r="J7" s="21">
        <v>23100</v>
      </c>
      <c r="K7" s="21">
        <v>24500</v>
      </c>
      <c r="L7" s="21">
        <v>23100</v>
      </c>
      <c r="M7" s="21">
        <v>25500</v>
      </c>
      <c r="N7" s="21">
        <v>29400</v>
      </c>
      <c r="O7" s="22">
        <v>30500</v>
      </c>
      <c r="P7" s="22"/>
      <c r="Q7" s="23">
        <v>29900</v>
      </c>
      <c r="R7" s="43">
        <v>31000</v>
      </c>
    </row>
    <row r="8" spans="2:21" s="24" customFormat="1" x14ac:dyDescent="0.25">
      <c r="B8" s="25" t="s">
        <v>1</v>
      </c>
      <c r="C8" s="20">
        <v>62000</v>
      </c>
      <c r="D8" s="20">
        <v>64000</v>
      </c>
      <c r="E8" s="20"/>
      <c r="F8" s="20">
        <v>48000</v>
      </c>
      <c r="G8" s="20">
        <v>48000</v>
      </c>
      <c r="H8" s="20">
        <v>69000</v>
      </c>
      <c r="I8" s="20">
        <v>96000</v>
      </c>
      <c r="J8" s="21">
        <v>146000</v>
      </c>
      <c r="K8" s="21">
        <v>171000</v>
      </c>
      <c r="L8" s="21">
        <v>169000</v>
      </c>
      <c r="M8" s="21">
        <v>154000</v>
      </c>
      <c r="N8" s="21">
        <v>142800</v>
      </c>
      <c r="O8" s="22">
        <v>204300</v>
      </c>
      <c r="P8" s="22"/>
      <c r="Q8" s="23">
        <f>MROUND(230027.62,100)</f>
        <v>230000</v>
      </c>
      <c r="R8" s="24">
        <f>MROUND(252572, 100)</f>
        <v>252600</v>
      </c>
    </row>
    <row r="9" spans="2:21" s="24" customFormat="1" x14ac:dyDescent="0.25">
      <c r="B9" s="19" t="s">
        <v>2</v>
      </c>
      <c r="C9" s="20">
        <v>61200</v>
      </c>
      <c r="D9" s="20">
        <v>64400</v>
      </c>
      <c r="E9" s="20"/>
      <c r="F9" s="20"/>
      <c r="G9" s="17"/>
      <c r="J9" s="26"/>
      <c r="L9" s="43"/>
      <c r="M9" s="43"/>
      <c r="O9" s="27"/>
      <c r="P9" s="27"/>
      <c r="Q9" s="23"/>
    </row>
    <row r="10" spans="2:21" s="24" customFormat="1" ht="16.5" x14ac:dyDescent="0.25">
      <c r="B10" s="19" t="s">
        <v>3</v>
      </c>
      <c r="C10" s="20"/>
      <c r="D10" s="20">
        <v>62500</v>
      </c>
      <c r="E10" s="20"/>
      <c r="F10" s="20">
        <v>60400</v>
      </c>
      <c r="G10" s="20">
        <v>49800</v>
      </c>
      <c r="H10" s="20">
        <v>42900</v>
      </c>
      <c r="I10" s="20">
        <v>40300</v>
      </c>
      <c r="J10" s="21">
        <v>43900</v>
      </c>
      <c r="K10" s="21">
        <v>49900</v>
      </c>
      <c r="L10" s="21">
        <f>ROUND(54134,-2)</f>
        <v>54100</v>
      </c>
      <c r="M10" s="21">
        <f>ROUND(54655,-2)</f>
        <v>54700</v>
      </c>
      <c r="N10" s="21">
        <f>MROUND(61777,100)</f>
        <v>61800</v>
      </c>
      <c r="O10" s="22">
        <v>80681</v>
      </c>
      <c r="P10" s="44" t="s">
        <v>4</v>
      </c>
      <c r="Q10" s="23">
        <f>MROUND(95008,100)</f>
        <v>95000</v>
      </c>
      <c r="R10" s="24">
        <f>MROUND(92784,100)</f>
        <v>92800</v>
      </c>
    </row>
    <row r="11" spans="2:21" s="24" customFormat="1" x14ac:dyDescent="0.25">
      <c r="B11" s="28" t="s">
        <v>5</v>
      </c>
      <c r="C11" s="29">
        <f t="shared" ref="C11" si="0">SUM(C7:C9)</f>
        <v>154200</v>
      </c>
      <c r="D11" s="29">
        <f>SUM(D7:D9)</f>
        <v>155600</v>
      </c>
      <c r="E11" s="30" t="s">
        <v>6</v>
      </c>
      <c r="F11" s="29">
        <f>SUM(F7,F8,F10)</f>
        <v>133700</v>
      </c>
      <c r="G11" s="29">
        <f t="shared" ref="G11:M11" si="1">SUM(G7,G8,G10)</f>
        <v>120800</v>
      </c>
      <c r="H11" s="29">
        <f t="shared" si="1"/>
        <v>132300</v>
      </c>
      <c r="I11" s="29">
        <f t="shared" si="1"/>
        <v>156500</v>
      </c>
      <c r="J11" s="29">
        <f t="shared" si="1"/>
        <v>213000</v>
      </c>
      <c r="K11" s="29">
        <f t="shared" si="1"/>
        <v>245400</v>
      </c>
      <c r="L11" s="29">
        <f t="shared" si="1"/>
        <v>246200</v>
      </c>
      <c r="M11" s="29">
        <f t="shared" si="1"/>
        <v>234200</v>
      </c>
      <c r="N11" s="31">
        <f>MROUND(M11,100)</f>
        <v>234200</v>
      </c>
      <c r="O11" s="32">
        <f>MROUND(O7+O8+80681,100)</f>
        <v>315500</v>
      </c>
      <c r="P11" s="32"/>
      <c r="Q11" s="33">
        <f>SUM(Q7:Q10)</f>
        <v>354900</v>
      </c>
      <c r="R11" s="42">
        <f>Q7+R8+R10</f>
        <v>375300</v>
      </c>
    </row>
    <row r="12" spans="2:21" s="24" customFormat="1" ht="30" customHeight="1" x14ac:dyDescent="0.25">
      <c r="B12" s="34"/>
      <c r="C12" s="35"/>
      <c r="D12" s="35"/>
      <c r="E12" s="35"/>
      <c r="F12" s="35"/>
      <c r="G12" s="35"/>
      <c r="H12" s="36"/>
      <c r="I12" s="37"/>
      <c r="J12" s="37"/>
      <c r="K12" s="37"/>
      <c r="N12" s="38"/>
      <c r="O12" s="27"/>
      <c r="P12" s="27"/>
      <c r="Q12" s="39"/>
      <c r="R12" s="39"/>
    </row>
    <row r="13" spans="2:21" s="24" customFormat="1" ht="92.25" customHeight="1" x14ac:dyDescent="0.25">
      <c r="B13" s="40" t="s">
        <v>11</v>
      </c>
      <c r="C13" s="40"/>
      <c r="D13" s="40"/>
      <c r="E13" s="40"/>
      <c r="F13" s="40"/>
      <c r="G13" s="40"/>
      <c r="H13" s="40"/>
      <c r="I13" s="40"/>
      <c r="J13" s="40"/>
      <c r="K13" s="40"/>
      <c r="L13" s="40"/>
      <c r="M13" s="40"/>
      <c r="N13" s="40"/>
      <c r="O13" s="40"/>
      <c r="P13" s="40"/>
      <c r="Q13" s="40"/>
      <c r="R13" s="40"/>
    </row>
    <row r="14" spans="2:21" s="41" customFormat="1" ht="15" customHeight="1" x14ac:dyDescent="0.25">
      <c r="B14" s="47" t="s">
        <v>7</v>
      </c>
      <c r="C14" s="47"/>
      <c r="D14" s="47"/>
      <c r="E14" s="47"/>
      <c r="F14" s="47"/>
      <c r="G14" s="47"/>
      <c r="H14" s="47"/>
      <c r="I14" s="47"/>
      <c r="J14" s="47"/>
      <c r="K14" s="47"/>
      <c r="L14" s="47"/>
      <c r="M14" s="47"/>
      <c r="N14" s="47"/>
      <c r="O14" s="47"/>
      <c r="P14" s="47"/>
      <c r="Q14" s="47"/>
      <c r="R14" s="47"/>
    </row>
    <row r="15" spans="2:21" s="24" customFormat="1" ht="21" customHeight="1" x14ac:dyDescent="0.25">
      <c r="B15" s="40" t="s">
        <v>8</v>
      </c>
      <c r="C15" s="40"/>
      <c r="D15" s="40"/>
      <c r="E15" s="40"/>
      <c r="F15" s="40"/>
      <c r="G15" s="40"/>
      <c r="H15" s="40"/>
      <c r="I15" s="40"/>
      <c r="J15" s="40"/>
      <c r="K15" s="40"/>
      <c r="L15" s="40"/>
      <c r="M15" s="40"/>
      <c r="N15" s="40"/>
      <c r="O15" s="40"/>
      <c r="P15" s="40"/>
      <c r="Q15" s="40"/>
      <c r="R15" s="40"/>
    </row>
    <row r="16" spans="2:21" s="24" customFormat="1" ht="20.25" customHeight="1" x14ac:dyDescent="0.25">
      <c r="B16" s="40" t="s">
        <v>9</v>
      </c>
      <c r="C16" s="40"/>
      <c r="D16" s="40"/>
      <c r="E16" s="40"/>
      <c r="F16" s="40"/>
      <c r="G16" s="40"/>
      <c r="H16" s="40"/>
      <c r="I16" s="40"/>
      <c r="J16" s="40"/>
      <c r="K16" s="40"/>
      <c r="L16" s="40"/>
      <c r="M16" s="40"/>
      <c r="N16" s="40"/>
      <c r="O16" s="40"/>
      <c r="P16" s="40"/>
      <c r="Q16" s="40"/>
      <c r="R16" s="40"/>
    </row>
    <row r="17" spans="2:18" s="24" customFormat="1" ht="14.25" customHeight="1" x14ac:dyDescent="0.25">
      <c r="B17" s="40" t="s">
        <v>10</v>
      </c>
      <c r="C17" s="40"/>
      <c r="D17" s="40"/>
      <c r="E17" s="40"/>
      <c r="F17" s="40"/>
      <c r="G17" s="40"/>
      <c r="H17" s="40"/>
      <c r="I17" s="40"/>
      <c r="J17" s="40"/>
      <c r="K17" s="40"/>
      <c r="L17" s="40"/>
      <c r="M17" s="40"/>
      <c r="N17" s="40"/>
      <c r="O17" s="40"/>
      <c r="P17" s="40"/>
      <c r="Q17" s="40"/>
      <c r="R17" s="40"/>
    </row>
    <row r="18" spans="2:18" ht="18" customHeight="1" x14ac:dyDescent="0.25">
      <c r="B18" s="46" t="s">
        <v>12</v>
      </c>
      <c r="C18" s="45"/>
      <c r="D18" s="45"/>
      <c r="E18" s="45"/>
      <c r="F18" s="45"/>
      <c r="G18" s="45"/>
      <c r="H18" s="45"/>
      <c r="I18" s="45"/>
      <c r="J18" s="45"/>
      <c r="K18" s="45"/>
      <c r="L18" s="45"/>
      <c r="M18" s="45"/>
      <c r="N18" s="45"/>
      <c r="O18" s="45"/>
      <c r="P18" s="45"/>
      <c r="Q18" s="45"/>
      <c r="R18" s="45"/>
    </row>
  </sheetData>
  <mergeCells count="7">
    <mergeCell ref="B18:R18"/>
    <mergeCell ref="B14:R14"/>
    <mergeCell ref="B15:R15"/>
    <mergeCell ref="B16:R16"/>
    <mergeCell ref="B17:R17"/>
    <mergeCell ref="B13:R13"/>
    <mergeCell ref="B3:R3"/>
  </mergeCell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C2ACFA87F550418D225E071F542ADA" ma:contentTypeVersion="24" ma:contentTypeDescription="Create a new document." ma:contentTypeScope="" ma:versionID="4acc3459a9e5a8b946124cbee06b9a52">
  <xsd:schema xmlns:xsd="http://www.w3.org/2001/XMLSchema" xmlns:xs="http://www.w3.org/2001/XMLSchema" xmlns:p="http://schemas.microsoft.com/office/2006/metadata/properties" xmlns:ns2="8bde3967-4b29-49c8-add0-1b77de203898" xmlns:ns3="0f1cb922-524b-4a63-a729-f715e5c73bc5" xmlns:ns4="985ec44e-1bab-4c0b-9df0-6ba128686fc9" targetNamespace="http://schemas.microsoft.com/office/2006/metadata/properties" ma:root="true" ma:fieldsID="d55f6a0251caa7867116031c0bdd979f" ns2:_="" ns3:_="" ns4:_="">
    <xsd:import namespace="8bde3967-4b29-49c8-add0-1b77de203898"/>
    <xsd:import namespace="0f1cb922-524b-4a63-a729-f715e5c73bc5"/>
    <xsd:import namespace="985ec44e-1bab-4c0b-9df0-6ba128686fc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4:TaxCatchAll"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de3967-4b29-49c8-add0-1b77de20389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1cb922-524b-4a63-a729-f715e5c73bc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6068b4f6-077d-4e9b-8d51-ea092799dd60}" ma:internalName="TaxCatchAll" ma:showField="CatchAllData" ma:web="8bde3967-4b29-49c8-add0-1b77de20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f1cb922-524b-4a63-a729-f715e5c73bc5">
      <Terms xmlns="http://schemas.microsoft.com/office/infopath/2007/PartnerControls"/>
    </lcf76f155ced4ddcb4097134ff3c332f>
    <TaxCatchAll xmlns="985ec44e-1bab-4c0b-9df0-6ba128686fc9" xsi:nil="true"/>
  </documentManagement>
</p:properties>
</file>

<file path=customXml/itemProps1.xml><?xml version="1.0" encoding="utf-8"?>
<ds:datastoreItem xmlns:ds="http://schemas.openxmlformats.org/officeDocument/2006/customXml" ds:itemID="{94731A1C-D1C6-49E1-BA4A-57788E7C2568}"/>
</file>

<file path=customXml/itemProps2.xml><?xml version="1.0" encoding="utf-8"?>
<ds:datastoreItem xmlns:ds="http://schemas.openxmlformats.org/officeDocument/2006/customXml" ds:itemID="{ABC2921E-D57D-45C1-843D-09795527126D}"/>
</file>

<file path=customXml/itemProps3.xml><?xml version="1.0" encoding="utf-8"?>
<ds:datastoreItem xmlns:ds="http://schemas.openxmlformats.org/officeDocument/2006/customXml" ds:itemID="{CF6E61CA-37EC-439B-979B-7D753525A1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UNOG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IVANOVA</dc:creator>
  <cp:lastModifiedBy>Natalia IVANOVA</cp:lastModifiedBy>
  <dcterms:created xsi:type="dcterms:W3CDTF">2025-06-17T07:50:44Z</dcterms:created>
  <dcterms:modified xsi:type="dcterms:W3CDTF">2025-06-17T08:23:24Z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0x010100ACC2ACFA87F550418D225E071F542ADA</vt:lpwstr>
  </property>
</Properties>
</file>